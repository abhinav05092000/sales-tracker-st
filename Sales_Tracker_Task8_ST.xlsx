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'Raw Data'!$A$1:$H$61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dd-mmm-yyyy"/>
    <numFmt numFmtId="166" formatCode="₹#,##0.00"/>
    <numFmt numFmtId="167" formatCode="₹#,##0"/>
    <numFmt numFmtId="168" formatCode="mmm-yyyy"/>
    <numFmt numFmtId="169" formatCode="yyyy-mm-dd h:mm:ss"/>
  </numFmts>
  <fonts count="8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20"/>
    </font>
    <font>
      <i val="1"/>
    </font>
    <font>
      <b val="1"/>
      <color rgb="001F4E78"/>
      <sz val="15"/>
    </font>
    <font>
      <b val="1"/>
      <color rgb="001F4E78"/>
    </font>
    <font>
      <b val="1"/>
    </font>
    <font>
      <b val="1"/>
      <color rgb="001F4E78"/>
      <sz val="14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167" fontId="4" fillId="3" borderId="0" applyAlignment="1" pivotButton="0" quotePrefix="0" xfId="0">
      <alignment horizontal="center"/>
    </xf>
    <xf numFmtId="3" fontId="4" fillId="3" borderId="0" applyAlignment="1" pivotButton="0" quotePrefix="0" xfId="0">
      <alignment horizontal="center"/>
    </xf>
    <xf numFmtId="0" fontId="5" fillId="0" borderId="0" pivotButton="0" quotePrefix="0" xfId="0"/>
    <xf numFmtId="165" fontId="6" fillId="4" borderId="0" pivotButton="0" quotePrefix="0" xfId="0"/>
    <xf numFmtId="168" fontId="6" fillId="4" borderId="0" pivotButton="0" quotePrefix="0" xfId="0"/>
    <xf numFmtId="0" fontId="7" fillId="0" borderId="0" pivotButton="0" quotePrefix="0" xfId="0"/>
    <xf numFmtId="0" fontId="1" fillId="2" borderId="0" pivotButton="0" quotePrefix="0" xfId="0"/>
    <xf numFmtId="168" fontId="0" fillId="0" borderId="0" pivotButton="0" quotePrefix="0" xfId="0"/>
    <xf numFmtId="167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'Summary'!B16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'Summary'!$A$17:$A$22</f>
            </numRef>
          </cat>
          <val>
            <numRef>
              <f>'Summary'!$B$17:$B$22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14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8" customWidth="1" min="4" max="4"/>
    <col width="22" customWidth="1" min="5" max="5"/>
    <col width="12" customWidth="1" min="6" max="6"/>
    <col width="14" customWidth="1" min="7" max="7"/>
    <col width="16" customWidth="1" min="8" max="8"/>
  </cols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Salesperson</t>
        </is>
      </c>
      <c r="D1" s="1" t="inlineStr">
        <is>
          <t>Product</t>
        </is>
      </c>
      <c r="E1" s="1" t="inlineStr">
        <is>
          <t>Category</t>
        </is>
      </c>
      <c r="F1" s="1" t="inlineStr">
        <is>
          <t>Quantity</t>
        </is>
      </c>
      <c r="G1" s="1" t="inlineStr">
        <is>
          <t>Unit Price</t>
        </is>
      </c>
      <c r="H1" s="1" t="inlineStr">
        <is>
          <t>Sales Amount</t>
        </is>
      </c>
    </row>
    <row r="2">
      <c r="A2" s="2" t="n">
        <v>46260</v>
      </c>
      <c r="B2" t="inlineStr">
        <is>
          <t>North</t>
        </is>
      </c>
      <c r="C2" t="inlineStr">
        <is>
          <t>Neha</t>
        </is>
      </c>
      <c r="D2" t="inlineStr">
        <is>
          <t>Laptop Bag</t>
        </is>
      </c>
      <c r="E2" t="inlineStr">
        <is>
          <t>Accessories</t>
        </is>
      </c>
      <c r="F2" t="n">
        <v>3</v>
      </c>
      <c r="G2" s="3" t="n">
        <v>2244.63</v>
      </c>
      <c r="H2" s="3">
        <f>F2*G2</f>
        <v/>
      </c>
    </row>
    <row r="3">
      <c r="A3" s="2" t="n">
        <v>46243</v>
      </c>
      <c r="B3" t="inlineStr">
        <is>
          <t>Central</t>
        </is>
      </c>
      <c r="C3" t="inlineStr">
        <is>
          <t>Ishita</t>
        </is>
      </c>
      <c r="D3" t="inlineStr">
        <is>
          <t>Monitor</t>
        </is>
      </c>
      <c r="E3" t="inlineStr">
        <is>
          <t>Office &amp; Computing</t>
        </is>
      </c>
      <c r="F3" t="n">
        <v>7</v>
      </c>
      <c r="G3" s="3" t="n">
        <v>15614.62</v>
      </c>
      <c r="H3" s="3">
        <f>F3*G3</f>
        <v/>
      </c>
    </row>
    <row r="4">
      <c r="A4" s="2" t="n">
        <v>46279</v>
      </c>
      <c r="B4" t="inlineStr">
        <is>
          <t>Central</t>
        </is>
      </c>
      <c r="C4" t="inlineStr">
        <is>
          <t>Neha</t>
        </is>
      </c>
      <c r="D4" t="inlineStr">
        <is>
          <t>Webcam</t>
        </is>
      </c>
      <c r="E4" t="inlineStr">
        <is>
          <t>Accessories</t>
        </is>
      </c>
      <c r="F4" t="n">
        <v>8</v>
      </c>
      <c r="G4" s="3" t="n">
        <v>2969.19</v>
      </c>
      <c r="H4" s="3">
        <f>F4*G4</f>
        <v/>
      </c>
    </row>
    <row r="5">
      <c r="A5" s="2" t="n">
        <v>46281</v>
      </c>
      <c r="B5" t="inlineStr">
        <is>
          <t>North</t>
        </is>
      </c>
      <c r="C5" t="inlineStr">
        <is>
          <t>Ishita</t>
        </is>
      </c>
      <c r="D5" t="inlineStr">
        <is>
          <t>Webcam</t>
        </is>
      </c>
      <c r="E5" t="inlineStr">
        <is>
          <t>Accessories</t>
        </is>
      </c>
      <c r="F5" t="n">
        <v>7</v>
      </c>
      <c r="G5" s="3" t="n">
        <v>3477.63</v>
      </c>
      <c r="H5" s="3">
        <f>F5*G5</f>
        <v/>
      </c>
    </row>
    <row r="6">
      <c r="A6" s="2" t="n">
        <v>46248</v>
      </c>
      <c r="B6" t="inlineStr">
        <is>
          <t>West</t>
        </is>
      </c>
      <c r="C6" t="inlineStr">
        <is>
          <t>Vikram</t>
        </is>
      </c>
      <c r="D6" t="inlineStr">
        <is>
          <t>Smartwatch</t>
        </is>
      </c>
      <c r="E6" t="inlineStr">
        <is>
          <t>Mobile &amp; Wearables</t>
        </is>
      </c>
      <c r="F6" t="n">
        <v>10</v>
      </c>
      <c r="G6" s="3" t="n">
        <v>8171.17</v>
      </c>
      <c r="H6" s="3">
        <f>F6*G6</f>
        <v/>
      </c>
    </row>
    <row r="7">
      <c r="A7" s="2" t="n">
        <v>46280</v>
      </c>
      <c r="B7" t="inlineStr">
        <is>
          <t>Central</t>
        </is>
      </c>
      <c r="C7" t="inlineStr">
        <is>
          <t>Rahul</t>
        </is>
      </c>
      <c r="D7" t="inlineStr">
        <is>
          <t>Webcam</t>
        </is>
      </c>
      <c r="E7" t="inlineStr">
        <is>
          <t>Accessories</t>
        </is>
      </c>
      <c r="F7" t="n">
        <v>6</v>
      </c>
      <c r="G7" s="3" t="n">
        <v>3125.21</v>
      </c>
      <c r="H7" s="3">
        <f>F7*G7</f>
        <v/>
      </c>
    </row>
    <row r="8">
      <c r="A8" s="2" t="n">
        <v>46252</v>
      </c>
      <c r="B8" t="inlineStr">
        <is>
          <t>Central</t>
        </is>
      </c>
      <c r="C8" t="inlineStr">
        <is>
          <t>Rahul</t>
        </is>
      </c>
      <c r="D8" t="inlineStr">
        <is>
          <t>Webcam</t>
        </is>
      </c>
      <c r="E8" t="inlineStr">
        <is>
          <t>Accessories</t>
        </is>
      </c>
      <c r="F8" t="n">
        <v>4</v>
      </c>
      <c r="G8" s="3" t="n">
        <v>3094.42</v>
      </c>
      <c r="H8" s="3">
        <f>F8*G8</f>
        <v/>
      </c>
    </row>
    <row r="9">
      <c r="A9" s="2" t="n">
        <v>46294</v>
      </c>
      <c r="B9" t="inlineStr">
        <is>
          <t>Central</t>
        </is>
      </c>
      <c r="C9" t="inlineStr">
        <is>
          <t>Rahul</t>
        </is>
      </c>
      <c r="D9" t="inlineStr">
        <is>
          <t>Webcam</t>
        </is>
      </c>
      <c r="E9" t="inlineStr">
        <is>
          <t>Accessories</t>
        </is>
      </c>
      <c r="F9" t="n">
        <v>9</v>
      </c>
      <c r="G9" s="3" t="n">
        <v>3507.39</v>
      </c>
      <c r="H9" s="3">
        <f>F9*G9</f>
        <v/>
      </c>
    </row>
    <row r="10">
      <c r="A10" s="2" t="n">
        <v>46273</v>
      </c>
      <c r="B10" t="inlineStr">
        <is>
          <t>Central</t>
        </is>
      </c>
      <c r="C10" t="inlineStr">
        <is>
          <t>Ishita</t>
        </is>
      </c>
      <c r="D10" t="inlineStr">
        <is>
          <t>Laptop Bag</t>
        </is>
      </c>
      <c r="E10" t="inlineStr">
        <is>
          <t>Accessories</t>
        </is>
      </c>
      <c r="F10" t="n">
        <v>3</v>
      </c>
      <c r="G10" s="3" t="n">
        <v>2236.31</v>
      </c>
      <c r="H10" s="3">
        <f>F10*G10</f>
        <v/>
      </c>
    </row>
    <row r="11">
      <c r="A11" s="2" t="n">
        <v>46293</v>
      </c>
      <c r="B11" t="inlineStr">
        <is>
          <t>North</t>
        </is>
      </c>
      <c r="C11" t="inlineStr">
        <is>
          <t>Rahul</t>
        </is>
      </c>
      <c r="D11" t="inlineStr">
        <is>
          <t>SSD</t>
        </is>
      </c>
      <c r="E11" t="inlineStr">
        <is>
          <t>Office &amp; Computing</t>
        </is>
      </c>
      <c r="F11" t="n">
        <v>10</v>
      </c>
      <c r="G11" s="3" t="n">
        <v>7162.76</v>
      </c>
      <c r="H11" s="3">
        <f>F11*G11</f>
        <v/>
      </c>
    </row>
    <row r="12">
      <c r="A12" s="2" t="n">
        <v>46246</v>
      </c>
      <c r="B12" t="inlineStr">
        <is>
          <t>North</t>
        </is>
      </c>
      <c r="C12" t="inlineStr">
        <is>
          <t>Ananya</t>
        </is>
      </c>
      <c r="D12" t="inlineStr">
        <is>
          <t>Webcam</t>
        </is>
      </c>
      <c r="E12" t="inlineStr">
        <is>
          <t>Accessories</t>
        </is>
      </c>
      <c r="F12" t="n">
        <v>2</v>
      </c>
      <c r="G12" s="3" t="n">
        <v>2833.9</v>
      </c>
      <c r="H12" s="3">
        <f>F12*G12</f>
        <v/>
      </c>
    </row>
    <row r="13">
      <c r="A13" s="2" t="n">
        <v>46265</v>
      </c>
      <c r="B13" t="inlineStr">
        <is>
          <t>West</t>
        </is>
      </c>
      <c r="C13" t="inlineStr">
        <is>
          <t>Ananya</t>
        </is>
      </c>
      <c r="D13" t="inlineStr">
        <is>
          <t>SSD</t>
        </is>
      </c>
      <c r="E13" t="inlineStr">
        <is>
          <t>Office &amp; Computing</t>
        </is>
      </c>
      <c r="F13" t="n">
        <v>7</v>
      </c>
      <c r="G13" s="3" t="n">
        <v>6705.94</v>
      </c>
      <c r="H13" s="3">
        <f>F13*G13</f>
        <v/>
      </c>
    </row>
    <row r="14">
      <c r="A14" s="2" t="n">
        <v>46244</v>
      </c>
      <c r="B14" t="inlineStr">
        <is>
          <t>Central</t>
        </is>
      </c>
      <c r="C14" t="inlineStr">
        <is>
          <t>Rahul</t>
        </is>
      </c>
      <c r="D14" t="inlineStr">
        <is>
          <t>Tablet</t>
        </is>
      </c>
      <c r="E14" t="inlineStr">
        <is>
          <t>Mobile &amp; Wearables</t>
        </is>
      </c>
      <c r="F14" t="n">
        <v>6</v>
      </c>
      <c r="G14" s="3" t="n">
        <v>20989.7</v>
      </c>
      <c r="H14" s="3">
        <f>F14*G14</f>
        <v/>
      </c>
    </row>
    <row r="15">
      <c r="A15" s="2" t="n">
        <v>46260</v>
      </c>
      <c r="B15" t="inlineStr">
        <is>
          <t>Central</t>
        </is>
      </c>
      <c r="C15" t="inlineStr">
        <is>
          <t>Vikram</t>
        </is>
      </c>
      <c r="D15" t="inlineStr">
        <is>
          <t>Smartwatch</t>
        </is>
      </c>
      <c r="E15" t="inlineStr">
        <is>
          <t>Mobile &amp; Wearables</t>
        </is>
      </c>
      <c r="F15" t="n">
        <v>8</v>
      </c>
      <c r="G15" s="3" t="n">
        <v>8005.46</v>
      </c>
      <c r="H15" s="3">
        <f>F15*G15</f>
        <v/>
      </c>
    </row>
    <row r="16">
      <c r="A16" s="2" t="n">
        <v>46260</v>
      </c>
      <c r="B16" t="inlineStr">
        <is>
          <t>North</t>
        </is>
      </c>
      <c r="C16" t="inlineStr">
        <is>
          <t>Ishita</t>
        </is>
      </c>
      <c r="D16" t="inlineStr">
        <is>
          <t>Monitor</t>
        </is>
      </c>
      <c r="E16" t="inlineStr">
        <is>
          <t>Office &amp; Computing</t>
        </is>
      </c>
      <c r="F16" t="n">
        <v>8</v>
      </c>
      <c r="G16" s="3" t="n">
        <v>17070.58</v>
      </c>
      <c r="H16" s="3">
        <f>F16*G16</f>
        <v/>
      </c>
    </row>
    <row r="17">
      <c r="A17" s="2" t="n">
        <v>46243</v>
      </c>
      <c r="B17" t="inlineStr">
        <is>
          <t>North</t>
        </is>
      </c>
      <c r="C17" t="inlineStr">
        <is>
          <t>Neha</t>
        </is>
      </c>
      <c r="D17" t="inlineStr">
        <is>
          <t>SSD</t>
        </is>
      </c>
      <c r="E17" t="inlineStr">
        <is>
          <t>Office &amp; Computing</t>
        </is>
      </c>
      <c r="F17" t="n">
        <v>7</v>
      </c>
      <c r="G17" s="3" t="n">
        <v>5914.01</v>
      </c>
      <c r="H17" s="3">
        <f>F17*G17</f>
        <v/>
      </c>
    </row>
    <row r="18">
      <c r="A18" s="2" t="n">
        <v>46242</v>
      </c>
      <c r="B18" t="inlineStr">
        <is>
          <t>South</t>
        </is>
      </c>
      <c r="C18" t="inlineStr">
        <is>
          <t>Vikram</t>
        </is>
      </c>
      <c r="D18" t="inlineStr">
        <is>
          <t>Smartwatch</t>
        </is>
      </c>
      <c r="E18" t="inlineStr">
        <is>
          <t>Mobile &amp; Wearables</t>
        </is>
      </c>
      <c r="F18" t="n">
        <v>3</v>
      </c>
      <c r="G18" s="3" t="n">
        <v>8316.139999999999</v>
      </c>
      <c r="H18" s="3">
        <f>F18*G18</f>
        <v/>
      </c>
    </row>
    <row r="19">
      <c r="A19" s="2" t="n">
        <v>46294</v>
      </c>
      <c r="B19" t="inlineStr">
        <is>
          <t>South</t>
        </is>
      </c>
      <c r="C19" t="inlineStr">
        <is>
          <t>Rahul</t>
        </is>
      </c>
      <c r="D19" t="inlineStr">
        <is>
          <t>Smartwatch</t>
        </is>
      </c>
      <c r="E19" t="inlineStr">
        <is>
          <t>Mobile &amp; Wearables</t>
        </is>
      </c>
      <c r="F19" t="n">
        <v>4</v>
      </c>
      <c r="G19" s="3" t="n">
        <v>9206.1</v>
      </c>
      <c r="H19" s="3">
        <f>F19*G19</f>
        <v/>
      </c>
    </row>
    <row r="20">
      <c r="A20" s="2" t="n">
        <v>46242</v>
      </c>
      <c r="B20" t="inlineStr">
        <is>
          <t>South</t>
        </is>
      </c>
      <c r="C20" t="inlineStr">
        <is>
          <t>Vikram</t>
        </is>
      </c>
      <c r="D20" t="inlineStr">
        <is>
          <t>Monitor</t>
        </is>
      </c>
      <c r="E20" t="inlineStr">
        <is>
          <t>Office &amp; Computing</t>
        </is>
      </c>
      <c r="F20" t="n">
        <v>2</v>
      </c>
      <c r="G20" s="3" t="n">
        <v>15504.59</v>
      </c>
      <c r="H20" s="3">
        <f>F20*G20</f>
        <v/>
      </c>
    </row>
    <row r="21">
      <c r="A21" s="2" t="n">
        <v>46235</v>
      </c>
      <c r="B21" t="inlineStr">
        <is>
          <t>Central</t>
        </is>
      </c>
      <c r="C21" t="inlineStr">
        <is>
          <t>Ishita</t>
        </is>
      </c>
      <c r="D21" t="inlineStr">
        <is>
          <t>Webcam</t>
        </is>
      </c>
      <c r="E21" t="inlineStr">
        <is>
          <t>Accessories</t>
        </is>
      </c>
      <c r="F21" t="n">
        <v>4</v>
      </c>
      <c r="G21" s="3" t="n">
        <v>3105.52</v>
      </c>
      <c r="H21" s="3">
        <f>F21*G21</f>
        <v/>
      </c>
    </row>
    <row r="22">
      <c r="A22" s="2" t="n">
        <v>46256</v>
      </c>
      <c r="B22" t="inlineStr">
        <is>
          <t>West</t>
        </is>
      </c>
      <c r="C22" t="inlineStr">
        <is>
          <t>Rahul</t>
        </is>
      </c>
      <c r="D22" t="inlineStr">
        <is>
          <t>Monitor</t>
        </is>
      </c>
      <c r="E22" t="inlineStr">
        <is>
          <t>Office &amp; Computing</t>
        </is>
      </c>
      <c r="F22" t="n">
        <v>7</v>
      </c>
      <c r="G22" s="3" t="n">
        <v>16666.92</v>
      </c>
      <c r="H22" s="3">
        <f>F22*G22</f>
        <v/>
      </c>
    </row>
    <row r="23">
      <c r="A23" s="2" t="n">
        <v>46269</v>
      </c>
      <c r="B23" t="inlineStr">
        <is>
          <t>North</t>
        </is>
      </c>
      <c r="C23" t="inlineStr">
        <is>
          <t>Ananya</t>
        </is>
      </c>
      <c r="D23" t="inlineStr">
        <is>
          <t>Printer</t>
        </is>
      </c>
      <c r="E23" t="inlineStr">
        <is>
          <t>Office &amp; Computing</t>
        </is>
      </c>
      <c r="F23" t="n">
        <v>6</v>
      </c>
      <c r="G23" s="3" t="n">
        <v>13164.98</v>
      </c>
      <c r="H23" s="3">
        <f>F23*G23</f>
        <v/>
      </c>
    </row>
    <row r="24">
      <c r="A24" s="2" t="n">
        <v>46260</v>
      </c>
      <c r="B24" t="inlineStr">
        <is>
          <t>West</t>
        </is>
      </c>
      <c r="C24" t="inlineStr">
        <is>
          <t>Vikram</t>
        </is>
      </c>
      <c r="D24" t="inlineStr">
        <is>
          <t>Monitor</t>
        </is>
      </c>
      <c r="E24" t="inlineStr">
        <is>
          <t>Office &amp; Computing</t>
        </is>
      </c>
      <c r="F24" t="n">
        <v>5</v>
      </c>
      <c r="G24" s="3" t="n">
        <v>16815.33</v>
      </c>
      <c r="H24" s="3">
        <f>F24*G24</f>
        <v/>
      </c>
    </row>
    <row r="25">
      <c r="A25" s="2" t="n">
        <v>46249</v>
      </c>
      <c r="B25" t="inlineStr">
        <is>
          <t>South</t>
        </is>
      </c>
      <c r="C25" t="inlineStr">
        <is>
          <t>Ananya</t>
        </is>
      </c>
      <c r="D25" t="inlineStr">
        <is>
          <t>SSD</t>
        </is>
      </c>
      <c r="E25" t="inlineStr">
        <is>
          <t>Office &amp; Computing</t>
        </is>
      </c>
      <c r="F25" t="n">
        <v>6</v>
      </c>
      <c r="G25" s="3" t="n">
        <v>6061.02</v>
      </c>
      <c r="H25" s="3">
        <f>F25*G25</f>
        <v/>
      </c>
    </row>
    <row r="26">
      <c r="A26" s="2" t="n">
        <v>46286</v>
      </c>
      <c r="B26" t="inlineStr">
        <is>
          <t>North</t>
        </is>
      </c>
      <c r="C26" t="inlineStr">
        <is>
          <t>Rahul</t>
        </is>
      </c>
      <c r="D26" t="inlineStr">
        <is>
          <t>SSD</t>
        </is>
      </c>
      <c r="E26" t="inlineStr">
        <is>
          <t>Office &amp; Computing</t>
        </is>
      </c>
      <c r="F26" t="n">
        <v>5</v>
      </c>
      <c r="G26" s="3" t="n">
        <v>6403.48</v>
      </c>
      <c r="H26" s="3">
        <f>F26*G26</f>
        <v/>
      </c>
    </row>
    <row r="27">
      <c r="A27" s="2" t="n">
        <v>46240</v>
      </c>
      <c r="B27" t="inlineStr">
        <is>
          <t>West</t>
        </is>
      </c>
      <c r="C27" t="inlineStr">
        <is>
          <t>Ishita</t>
        </is>
      </c>
      <c r="D27" t="inlineStr">
        <is>
          <t>Laptop Bag</t>
        </is>
      </c>
      <c r="E27" t="inlineStr">
        <is>
          <t>Accessories</t>
        </is>
      </c>
      <c r="F27" t="n">
        <v>2</v>
      </c>
      <c r="G27" s="3" t="n">
        <v>2401.81</v>
      </c>
      <c r="H27" s="3">
        <f>F27*G27</f>
        <v/>
      </c>
    </row>
    <row r="28">
      <c r="A28" s="2" t="n">
        <v>46293</v>
      </c>
      <c r="B28" t="inlineStr">
        <is>
          <t>South</t>
        </is>
      </c>
      <c r="C28" t="inlineStr">
        <is>
          <t>Rahul</t>
        </is>
      </c>
      <c r="D28" t="inlineStr">
        <is>
          <t>SSD</t>
        </is>
      </c>
      <c r="E28" t="inlineStr">
        <is>
          <t>Office &amp; Computing</t>
        </is>
      </c>
      <c r="F28" t="n">
        <v>9</v>
      </c>
      <c r="G28" s="3" t="n">
        <v>5918.56</v>
      </c>
      <c r="H28" s="3">
        <f>F28*G28</f>
        <v/>
      </c>
    </row>
    <row r="29">
      <c r="A29" s="2" t="n">
        <v>46292</v>
      </c>
      <c r="B29" t="inlineStr">
        <is>
          <t>West</t>
        </is>
      </c>
      <c r="C29" t="inlineStr">
        <is>
          <t>Ishita</t>
        </is>
      </c>
      <c r="D29" t="inlineStr">
        <is>
          <t>Tablet</t>
        </is>
      </c>
      <c r="E29" t="inlineStr">
        <is>
          <t>Mobile &amp; Wearables</t>
        </is>
      </c>
      <c r="F29" t="n">
        <v>7</v>
      </c>
      <c r="G29" s="3" t="n">
        <v>25583.99</v>
      </c>
      <c r="H29" s="3">
        <f>F29*G29</f>
        <v/>
      </c>
    </row>
    <row r="30">
      <c r="A30" s="2" t="n">
        <v>46287</v>
      </c>
      <c r="B30" t="inlineStr">
        <is>
          <t>North</t>
        </is>
      </c>
      <c r="C30" t="inlineStr">
        <is>
          <t>Ishita</t>
        </is>
      </c>
      <c r="D30" t="inlineStr">
        <is>
          <t>Webcam</t>
        </is>
      </c>
      <c r="E30" t="inlineStr">
        <is>
          <t>Accessories</t>
        </is>
      </c>
      <c r="F30" t="n">
        <v>7</v>
      </c>
      <c r="G30" s="3" t="n">
        <v>3336.89</v>
      </c>
      <c r="H30" s="3">
        <f>F30*G30</f>
        <v/>
      </c>
    </row>
    <row r="31">
      <c r="A31" s="2" t="n">
        <v>46273</v>
      </c>
      <c r="B31" t="inlineStr">
        <is>
          <t>West</t>
        </is>
      </c>
      <c r="C31" t="inlineStr">
        <is>
          <t>Vikram</t>
        </is>
      </c>
      <c r="D31" t="inlineStr">
        <is>
          <t>Monitor</t>
        </is>
      </c>
      <c r="E31" t="inlineStr">
        <is>
          <t>Office &amp; Computing</t>
        </is>
      </c>
      <c r="F31" t="n">
        <v>7</v>
      </c>
      <c r="G31" s="3" t="n">
        <v>14893.07</v>
      </c>
      <c r="H31" s="3">
        <f>F31*G31</f>
        <v/>
      </c>
    </row>
    <row r="32">
      <c r="A32" s="2" t="n">
        <v>46247</v>
      </c>
      <c r="B32" t="inlineStr">
        <is>
          <t>Central</t>
        </is>
      </c>
      <c r="C32" t="inlineStr">
        <is>
          <t>Ishita</t>
        </is>
      </c>
      <c r="D32" t="inlineStr">
        <is>
          <t>Tablet</t>
        </is>
      </c>
      <c r="E32" t="inlineStr">
        <is>
          <t>Mobile &amp; Wearables</t>
        </is>
      </c>
      <c r="F32" t="n">
        <v>5</v>
      </c>
      <c r="G32" s="3" t="n">
        <v>25564.85</v>
      </c>
      <c r="H32" s="3">
        <f>F32*G32</f>
        <v/>
      </c>
    </row>
    <row r="33">
      <c r="A33" s="2" t="n">
        <v>46247</v>
      </c>
      <c r="B33" t="inlineStr">
        <is>
          <t>North</t>
        </is>
      </c>
      <c r="C33" t="inlineStr">
        <is>
          <t>Ishita</t>
        </is>
      </c>
      <c r="D33" t="inlineStr">
        <is>
          <t>SSD</t>
        </is>
      </c>
      <c r="E33" t="inlineStr">
        <is>
          <t>Office &amp; Computing</t>
        </is>
      </c>
      <c r="F33" t="n">
        <v>7</v>
      </c>
      <c r="G33" s="3" t="n">
        <v>6879.11</v>
      </c>
      <c r="H33" s="3">
        <f>F33*G33</f>
        <v/>
      </c>
    </row>
    <row r="34">
      <c r="A34" s="2" t="n">
        <v>46290</v>
      </c>
      <c r="B34" t="inlineStr">
        <is>
          <t>North</t>
        </is>
      </c>
      <c r="C34" t="inlineStr">
        <is>
          <t>Rahul</t>
        </is>
      </c>
      <c r="D34" t="inlineStr">
        <is>
          <t>SSD</t>
        </is>
      </c>
      <c r="E34" t="inlineStr">
        <is>
          <t>Office &amp; Computing</t>
        </is>
      </c>
      <c r="F34" t="n">
        <v>6</v>
      </c>
      <c r="G34" s="3" t="n">
        <v>6744.23</v>
      </c>
      <c r="H34" s="3">
        <f>F34*G34</f>
        <v/>
      </c>
    </row>
    <row r="35">
      <c r="A35" s="2" t="n">
        <v>46235</v>
      </c>
      <c r="B35" t="inlineStr">
        <is>
          <t>North</t>
        </is>
      </c>
      <c r="C35" t="inlineStr">
        <is>
          <t>Ananya</t>
        </is>
      </c>
      <c r="D35" t="inlineStr">
        <is>
          <t>Printer</t>
        </is>
      </c>
      <c r="E35" t="inlineStr">
        <is>
          <t>Office &amp; Computing</t>
        </is>
      </c>
      <c r="F35" t="n">
        <v>9</v>
      </c>
      <c r="G35" s="3" t="n">
        <v>11931.6</v>
      </c>
      <c r="H35" s="3">
        <f>F35*G35</f>
        <v/>
      </c>
    </row>
    <row r="36">
      <c r="A36" s="2" t="n">
        <v>46278</v>
      </c>
      <c r="B36" t="inlineStr">
        <is>
          <t>North</t>
        </is>
      </c>
      <c r="C36" t="inlineStr">
        <is>
          <t>Neha</t>
        </is>
      </c>
      <c r="D36" t="inlineStr">
        <is>
          <t>SSD</t>
        </is>
      </c>
      <c r="E36" t="inlineStr">
        <is>
          <t>Office &amp; Computing</t>
        </is>
      </c>
      <c r="F36" t="n">
        <v>8</v>
      </c>
      <c r="G36" s="3" t="n">
        <v>7175.62</v>
      </c>
      <c r="H36" s="3">
        <f>F36*G36</f>
        <v/>
      </c>
    </row>
    <row r="37">
      <c r="A37" s="2" t="n">
        <v>46251</v>
      </c>
      <c r="B37" t="inlineStr">
        <is>
          <t>West</t>
        </is>
      </c>
      <c r="C37" t="inlineStr">
        <is>
          <t>Rahul</t>
        </is>
      </c>
      <c r="D37" t="inlineStr">
        <is>
          <t>SSD</t>
        </is>
      </c>
      <c r="E37" t="inlineStr">
        <is>
          <t>Office &amp; Computing</t>
        </is>
      </c>
      <c r="F37" t="n">
        <v>9</v>
      </c>
      <c r="G37" s="3" t="n">
        <v>6548.41</v>
      </c>
      <c r="H37" s="3">
        <f>F37*G37</f>
        <v/>
      </c>
    </row>
    <row r="38">
      <c r="A38" s="2" t="n">
        <v>46274</v>
      </c>
      <c r="B38" t="inlineStr">
        <is>
          <t>South</t>
        </is>
      </c>
      <c r="C38" t="inlineStr">
        <is>
          <t>Vikram</t>
        </is>
      </c>
      <c r="D38" t="inlineStr">
        <is>
          <t>Monitor</t>
        </is>
      </c>
      <c r="E38" t="inlineStr">
        <is>
          <t>Office &amp; Computing</t>
        </is>
      </c>
      <c r="F38" t="n">
        <v>1</v>
      </c>
      <c r="G38" s="3" t="n">
        <v>17358.28</v>
      </c>
      <c r="H38" s="3">
        <f>F38*G38</f>
        <v/>
      </c>
    </row>
    <row r="39">
      <c r="A39" s="2" t="n">
        <v>46286</v>
      </c>
      <c r="B39" t="inlineStr">
        <is>
          <t>Central</t>
        </is>
      </c>
      <c r="C39" t="inlineStr">
        <is>
          <t>Neha</t>
        </is>
      </c>
      <c r="D39" t="inlineStr">
        <is>
          <t>Tablet</t>
        </is>
      </c>
      <c r="E39" t="inlineStr">
        <is>
          <t>Mobile &amp; Wearables</t>
        </is>
      </c>
      <c r="F39" t="n">
        <v>1</v>
      </c>
      <c r="G39" s="3" t="n">
        <v>25545.48</v>
      </c>
      <c r="H39" s="3">
        <f>F39*G39</f>
        <v/>
      </c>
    </row>
    <row r="40">
      <c r="A40" s="2" t="n">
        <v>46261</v>
      </c>
      <c r="B40" t="inlineStr">
        <is>
          <t>South</t>
        </is>
      </c>
      <c r="C40" t="inlineStr">
        <is>
          <t>Neha</t>
        </is>
      </c>
      <c r="D40" t="inlineStr">
        <is>
          <t>Tablet</t>
        </is>
      </c>
      <c r="E40" t="inlineStr">
        <is>
          <t>Mobile &amp; Wearables</t>
        </is>
      </c>
      <c r="F40" t="n">
        <v>10</v>
      </c>
      <c r="G40" s="3" t="n">
        <v>23413.52</v>
      </c>
      <c r="H40" s="3">
        <f>F40*G40</f>
        <v/>
      </c>
    </row>
    <row r="41">
      <c r="A41" s="2" t="n">
        <v>46247</v>
      </c>
      <c r="B41" t="inlineStr">
        <is>
          <t>Central</t>
        </is>
      </c>
      <c r="C41" t="inlineStr">
        <is>
          <t>Rahul</t>
        </is>
      </c>
      <c r="D41" t="inlineStr">
        <is>
          <t>Monitor</t>
        </is>
      </c>
      <c r="E41" t="inlineStr">
        <is>
          <t>Office &amp; Computing</t>
        </is>
      </c>
      <c r="F41" t="n">
        <v>7</v>
      </c>
      <c r="G41" s="3" t="n">
        <v>16576</v>
      </c>
      <c r="H41" s="3">
        <f>F41*G41</f>
        <v/>
      </c>
    </row>
    <row r="42">
      <c r="A42" s="2" t="n">
        <v>46251</v>
      </c>
      <c r="B42" t="inlineStr">
        <is>
          <t>South</t>
        </is>
      </c>
      <c r="C42" t="inlineStr">
        <is>
          <t>Vikram</t>
        </is>
      </c>
      <c r="D42" t="inlineStr">
        <is>
          <t>Laptop Bag</t>
        </is>
      </c>
      <c r="E42" t="inlineStr">
        <is>
          <t>Accessories</t>
        </is>
      </c>
      <c r="F42" t="n">
        <v>3</v>
      </c>
      <c r="G42" s="3" t="n">
        <v>2631.42</v>
      </c>
      <c r="H42" s="3">
        <f>F42*G42</f>
        <v/>
      </c>
    </row>
    <row r="43">
      <c r="A43" s="2" t="n">
        <v>46290</v>
      </c>
      <c r="B43" t="inlineStr">
        <is>
          <t>West</t>
        </is>
      </c>
      <c r="C43" t="inlineStr">
        <is>
          <t>Rahul</t>
        </is>
      </c>
      <c r="D43" t="inlineStr">
        <is>
          <t>Monitor</t>
        </is>
      </c>
      <c r="E43" t="inlineStr">
        <is>
          <t>Office &amp; Computing</t>
        </is>
      </c>
      <c r="F43" t="n">
        <v>9</v>
      </c>
      <c r="G43" s="3" t="n">
        <v>17190.11</v>
      </c>
      <c r="H43" s="3">
        <f>F43*G43</f>
        <v/>
      </c>
    </row>
    <row r="44">
      <c r="A44" s="2" t="n">
        <v>46246</v>
      </c>
      <c r="B44" t="inlineStr">
        <is>
          <t>South</t>
        </is>
      </c>
      <c r="C44" t="inlineStr">
        <is>
          <t>Vikram</t>
        </is>
      </c>
      <c r="D44" t="inlineStr">
        <is>
          <t>Tablet</t>
        </is>
      </c>
      <c r="E44" t="inlineStr">
        <is>
          <t>Mobile &amp; Wearables</t>
        </is>
      </c>
      <c r="F44" t="n">
        <v>5</v>
      </c>
      <c r="G44" s="3" t="n">
        <v>22796.65</v>
      </c>
      <c r="H44" s="3">
        <f>F44*G44</f>
        <v/>
      </c>
    </row>
    <row r="45">
      <c r="A45" s="2" t="n">
        <v>46289</v>
      </c>
      <c r="B45" t="inlineStr">
        <is>
          <t>West</t>
        </is>
      </c>
      <c r="C45" t="inlineStr">
        <is>
          <t>Vikram</t>
        </is>
      </c>
      <c r="D45" t="inlineStr">
        <is>
          <t>SSD</t>
        </is>
      </c>
      <c r="E45" t="inlineStr">
        <is>
          <t>Office &amp; Computing</t>
        </is>
      </c>
      <c r="F45" t="n">
        <v>8</v>
      </c>
      <c r="G45" s="3" t="n">
        <v>6613.56</v>
      </c>
      <c r="H45" s="3">
        <f>F45*G45</f>
        <v/>
      </c>
    </row>
    <row r="46">
      <c r="A46" s="2" t="n">
        <v>46275</v>
      </c>
      <c r="B46" t="inlineStr">
        <is>
          <t>North</t>
        </is>
      </c>
      <c r="C46" t="inlineStr">
        <is>
          <t>Ananya</t>
        </is>
      </c>
      <c r="D46" t="inlineStr">
        <is>
          <t>Laptop Bag</t>
        </is>
      </c>
      <c r="E46" t="inlineStr">
        <is>
          <t>Accessories</t>
        </is>
      </c>
      <c r="F46" t="n">
        <v>9</v>
      </c>
      <c r="G46" s="3" t="n">
        <v>2249.99</v>
      </c>
      <c r="H46" s="3">
        <f>F46*G46</f>
        <v/>
      </c>
    </row>
    <row r="47">
      <c r="A47" s="2" t="n">
        <v>46264</v>
      </c>
      <c r="B47" t="inlineStr">
        <is>
          <t>Central</t>
        </is>
      </c>
      <c r="C47" t="inlineStr">
        <is>
          <t>Ananya</t>
        </is>
      </c>
      <c r="D47" t="inlineStr">
        <is>
          <t>Webcam</t>
        </is>
      </c>
      <c r="E47" t="inlineStr">
        <is>
          <t>Accessories</t>
        </is>
      </c>
      <c r="F47" t="n">
        <v>6</v>
      </c>
      <c r="G47" s="3" t="n">
        <v>3427.53</v>
      </c>
      <c r="H47" s="3">
        <f>F47*G47</f>
        <v/>
      </c>
    </row>
    <row r="48">
      <c r="A48" s="2" t="n">
        <v>46239</v>
      </c>
      <c r="B48" t="inlineStr">
        <is>
          <t>Central</t>
        </is>
      </c>
      <c r="C48" t="inlineStr">
        <is>
          <t>Neha</t>
        </is>
      </c>
      <c r="D48" t="inlineStr">
        <is>
          <t>Tablet</t>
        </is>
      </c>
      <c r="E48" t="inlineStr">
        <is>
          <t>Mobile &amp; Wearables</t>
        </is>
      </c>
      <c r="F48" t="n">
        <v>9</v>
      </c>
      <c r="G48" s="3" t="n">
        <v>21759.95</v>
      </c>
      <c r="H48" s="3">
        <f>F48*G48</f>
        <v/>
      </c>
    </row>
    <row r="49">
      <c r="A49" s="2" t="n">
        <v>46235</v>
      </c>
      <c r="B49" t="inlineStr">
        <is>
          <t>South</t>
        </is>
      </c>
      <c r="C49" t="inlineStr">
        <is>
          <t>Rahul</t>
        </is>
      </c>
      <c r="D49" t="inlineStr">
        <is>
          <t>Webcam</t>
        </is>
      </c>
      <c r="E49" t="inlineStr">
        <is>
          <t>Accessories</t>
        </is>
      </c>
      <c r="F49" t="n">
        <v>5</v>
      </c>
      <c r="G49" s="3" t="n">
        <v>2943.48</v>
      </c>
      <c r="H49" s="3">
        <f>F49*G49</f>
        <v/>
      </c>
    </row>
    <row r="50">
      <c r="A50" s="2" t="n">
        <v>46272</v>
      </c>
      <c r="B50" t="inlineStr">
        <is>
          <t>West</t>
        </is>
      </c>
      <c r="C50" t="inlineStr">
        <is>
          <t>Ananya</t>
        </is>
      </c>
      <c r="D50" t="inlineStr">
        <is>
          <t>Printer</t>
        </is>
      </c>
      <c r="E50" t="inlineStr">
        <is>
          <t>Office &amp; Computing</t>
        </is>
      </c>
      <c r="F50" t="n">
        <v>1</v>
      </c>
      <c r="G50" s="3" t="n">
        <v>12027.17</v>
      </c>
      <c r="H50" s="3">
        <f>F50*G50</f>
        <v/>
      </c>
    </row>
    <row r="51">
      <c r="A51" s="2" t="n">
        <v>46249</v>
      </c>
      <c r="B51" t="inlineStr">
        <is>
          <t>South</t>
        </is>
      </c>
      <c r="C51" t="inlineStr">
        <is>
          <t>Vikram</t>
        </is>
      </c>
      <c r="D51" t="inlineStr">
        <is>
          <t>Webcam</t>
        </is>
      </c>
      <c r="E51" t="inlineStr">
        <is>
          <t>Accessories</t>
        </is>
      </c>
      <c r="F51" t="n">
        <v>8</v>
      </c>
      <c r="G51" s="3" t="n">
        <v>2860.17</v>
      </c>
      <c r="H51" s="3">
        <f>F51*G51</f>
        <v/>
      </c>
    </row>
    <row r="52">
      <c r="A52" s="2" t="n">
        <v>46284</v>
      </c>
      <c r="B52" t="inlineStr">
        <is>
          <t>North</t>
        </is>
      </c>
      <c r="C52" t="inlineStr">
        <is>
          <t>Vikram</t>
        </is>
      </c>
      <c r="D52" t="inlineStr">
        <is>
          <t>Laptop Bag</t>
        </is>
      </c>
      <c r="E52" t="inlineStr">
        <is>
          <t>Accessories</t>
        </is>
      </c>
      <c r="F52" t="n">
        <v>2</v>
      </c>
      <c r="G52" s="3" t="n">
        <v>2391.17</v>
      </c>
      <c r="H52" s="3">
        <f>F52*G52</f>
        <v/>
      </c>
    </row>
    <row r="53">
      <c r="A53" s="2" t="n">
        <v>46252</v>
      </c>
      <c r="B53" t="inlineStr">
        <is>
          <t>South</t>
        </is>
      </c>
      <c r="C53" t="inlineStr">
        <is>
          <t>Ananya</t>
        </is>
      </c>
      <c r="D53" t="inlineStr">
        <is>
          <t>Tablet</t>
        </is>
      </c>
      <c r="E53" t="inlineStr">
        <is>
          <t>Mobile &amp; Wearables</t>
        </is>
      </c>
      <c r="F53" t="n">
        <v>9</v>
      </c>
      <c r="G53" s="3" t="n">
        <v>25311.81</v>
      </c>
      <c r="H53" s="3">
        <f>F53*G53</f>
        <v/>
      </c>
    </row>
    <row r="54">
      <c r="A54" s="2" t="n">
        <v>46284</v>
      </c>
      <c r="B54" t="inlineStr">
        <is>
          <t>North</t>
        </is>
      </c>
      <c r="C54" t="inlineStr">
        <is>
          <t>Ishita</t>
        </is>
      </c>
      <c r="D54" t="inlineStr">
        <is>
          <t>Webcam</t>
        </is>
      </c>
      <c r="E54" t="inlineStr">
        <is>
          <t>Accessories</t>
        </is>
      </c>
      <c r="F54" t="n">
        <v>9</v>
      </c>
      <c r="G54" s="3" t="n">
        <v>2878.56</v>
      </c>
      <c r="H54" s="3">
        <f>F54*G54</f>
        <v/>
      </c>
    </row>
    <row r="55">
      <c r="A55" s="2" t="n">
        <v>46278</v>
      </c>
      <c r="B55" t="inlineStr">
        <is>
          <t>North</t>
        </is>
      </c>
      <c r="C55" t="inlineStr">
        <is>
          <t>Vikram</t>
        </is>
      </c>
      <c r="D55" t="inlineStr">
        <is>
          <t>Printer</t>
        </is>
      </c>
      <c r="E55" t="inlineStr">
        <is>
          <t>Office &amp; Computing</t>
        </is>
      </c>
      <c r="F55" t="n">
        <v>3</v>
      </c>
      <c r="G55" s="3" t="n">
        <v>12635.97</v>
      </c>
      <c r="H55" s="3">
        <f>F55*G55</f>
        <v/>
      </c>
    </row>
    <row r="56">
      <c r="A56" s="2" t="n">
        <v>46237</v>
      </c>
      <c r="B56" t="inlineStr">
        <is>
          <t>West</t>
        </is>
      </c>
      <c r="C56" t="inlineStr">
        <is>
          <t>Vikram</t>
        </is>
      </c>
      <c r="D56" t="inlineStr">
        <is>
          <t>Monitor</t>
        </is>
      </c>
      <c r="E56" t="inlineStr">
        <is>
          <t>Office &amp; Computing</t>
        </is>
      </c>
      <c r="F56" t="n">
        <v>6</v>
      </c>
      <c r="G56" s="3" t="n">
        <v>16879.64</v>
      </c>
      <c r="H56" s="3">
        <f>F56*G56</f>
        <v/>
      </c>
    </row>
    <row r="57">
      <c r="A57" s="2" t="n">
        <v>46280</v>
      </c>
      <c r="B57" t="inlineStr">
        <is>
          <t>North</t>
        </is>
      </c>
      <c r="C57" t="inlineStr">
        <is>
          <t>Ishita</t>
        </is>
      </c>
      <c r="D57" t="inlineStr">
        <is>
          <t>Smartwatch</t>
        </is>
      </c>
      <c r="E57" t="inlineStr">
        <is>
          <t>Mobile &amp; Wearables</t>
        </is>
      </c>
      <c r="F57" t="n">
        <v>1</v>
      </c>
      <c r="G57" s="3" t="n">
        <v>9301.889999999999</v>
      </c>
      <c r="H57" s="3">
        <f>F57*G57</f>
        <v/>
      </c>
    </row>
    <row r="58">
      <c r="A58" s="2" t="n">
        <v>46286</v>
      </c>
      <c r="B58" t="inlineStr">
        <is>
          <t>West</t>
        </is>
      </c>
      <c r="C58" t="inlineStr">
        <is>
          <t>Vikram</t>
        </is>
      </c>
      <c r="D58" t="inlineStr">
        <is>
          <t>SSD</t>
        </is>
      </c>
      <c r="E58" t="inlineStr">
        <is>
          <t>Office &amp; Computing</t>
        </is>
      </c>
      <c r="F58" t="n">
        <v>5</v>
      </c>
      <c r="G58" s="3" t="n">
        <v>6000.14</v>
      </c>
      <c r="H58" s="3">
        <f>F58*G58</f>
        <v/>
      </c>
    </row>
    <row r="59">
      <c r="A59" s="2" t="n">
        <v>46242</v>
      </c>
      <c r="B59" t="inlineStr">
        <is>
          <t>West</t>
        </is>
      </c>
      <c r="C59" t="inlineStr">
        <is>
          <t>Neha</t>
        </is>
      </c>
      <c r="D59" t="inlineStr">
        <is>
          <t>Smartwatch</t>
        </is>
      </c>
      <c r="E59" t="inlineStr">
        <is>
          <t>Mobile &amp; Wearables</t>
        </is>
      </c>
      <c r="F59" t="n">
        <v>1</v>
      </c>
      <c r="G59" s="3" t="n">
        <v>7951.43</v>
      </c>
      <c r="H59" s="3">
        <f>F59*G59</f>
        <v/>
      </c>
    </row>
    <row r="60">
      <c r="A60" s="2" t="n">
        <v>46293</v>
      </c>
      <c r="B60" t="inlineStr">
        <is>
          <t>Central</t>
        </is>
      </c>
      <c r="C60" t="inlineStr">
        <is>
          <t>Vikram</t>
        </is>
      </c>
      <c r="D60" t="inlineStr">
        <is>
          <t>SSD</t>
        </is>
      </c>
      <c r="E60" t="inlineStr">
        <is>
          <t>Office &amp; Computing</t>
        </is>
      </c>
      <c r="F60" t="n">
        <v>10</v>
      </c>
      <c r="G60" s="3" t="n">
        <v>6412.4</v>
      </c>
      <c r="H60" s="3">
        <f>F60*G60</f>
        <v/>
      </c>
    </row>
    <row r="61">
      <c r="A61" s="2" t="n">
        <v>46285</v>
      </c>
      <c r="B61" t="inlineStr">
        <is>
          <t>Central</t>
        </is>
      </c>
      <c r="C61" t="inlineStr">
        <is>
          <t>Vikram</t>
        </is>
      </c>
      <c r="D61" t="inlineStr">
        <is>
          <t>Webcam</t>
        </is>
      </c>
      <c r="E61" t="inlineStr">
        <is>
          <t>Accessories</t>
        </is>
      </c>
      <c r="F61" t="n">
        <v>3</v>
      </c>
      <c r="G61" s="3" t="n">
        <v>3410.47</v>
      </c>
      <c r="H61" s="3">
        <f>F61*G61</f>
        <v/>
      </c>
    </row>
  </sheetData>
  <autoFilter ref="A1:H61"/>
  <conditionalFormatting sqref="H2:H61">
    <cfRule type="colorScale" priority="1">
      <colorScale>
        <cfvo type="min"/>
        <cfvo type="percentile" val="50"/>
        <cfvo type="max"/>
        <color rgb="00FCE4D6"/>
        <color rgb="00FFF2CC"/>
        <color rgb="00C6E0B4"/>
      </colorScale>
    </cfRule>
  </conditionalFormatting>
  <dataValidations count="3">
    <dataValidation sqref="B2:B1000" showDropDown="0" showInputMessage="0" showErrorMessage="0" allowBlank="0" type="list">
      <formula1>"Central,North,South,West"</formula1>
    </dataValidation>
    <dataValidation sqref="D2:D1000" showDropDown="0" showInputMessage="0" showErrorMessage="0" allowBlank="0" type="list">
      <formula1>"Laptop Bag,Monitor,Printer,SSD,Smartwatch,Tablet,Webcam"</formula1>
    </dataValidation>
    <dataValidation sqref="F2:F1000" showDropDown="0" showInputMessage="0" showErrorMessage="0" allowBlank="0" type="whole" operator="between">
      <formula1>1</formula1>
      <formula2>1000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5" customWidth="1" min="3" max="3"/>
    <col width="22" customWidth="1" min="4" max="4"/>
    <col width="18" customWidth="1" min="5" max="5"/>
    <col width="5" customWidth="1" min="6" max="6"/>
    <col width="14" customWidth="1" min="7" max="7"/>
    <col width="14" customWidth="1" min="8" max="8"/>
  </cols>
  <sheetData>
    <row r="1">
      <c r="A1" s="4" t="inlineStr">
        <is>
          <t>SALES TRACKER — SUMMARY</t>
        </is>
      </c>
    </row>
    <row r="2">
      <c r="A2" s="5" t="inlineStr">
        <is>
          <t>Version B — Office &amp; Smart Devices</t>
        </is>
      </c>
    </row>
    <row r="4">
      <c r="A4" s="1" t="inlineStr">
        <is>
          <t>Total Sales</t>
        </is>
      </c>
      <c r="C4" s="1" t="inlineStr">
        <is>
          <t>Total Units</t>
        </is>
      </c>
      <c r="E4" s="1" t="inlineStr">
        <is>
          <t>Transactions</t>
        </is>
      </c>
      <c r="G4" s="1" t="inlineStr">
        <is>
          <t>Avg Order</t>
        </is>
      </c>
    </row>
    <row r="5">
      <c r="A5" s="6">
        <f>SUM('Raw Data'!H2:H1000)</f>
        <v/>
      </c>
      <c r="C5" s="7">
        <f>SUM('Raw Data'!F2:F1000)</f>
        <v/>
      </c>
      <c r="E5" s="7">
        <f>COUNTA('Raw Data'!A2:A1000)</f>
        <v/>
      </c>
      <c r="G5" s="6">
        <f>IFERROR(B5/F5,0)</f>
        <v/>
      </c>
    </row>
    <row r="7">
      <c r="A7" s="8" t="inlineStr">
        <is>
          <t>Selected Date</t>
        </is>
      </c>
      <c r="B7" s="9" t="n">
        <v>46235</v>
      </c>
      <c r="D7" s="8" t="inlineStr">
        <is>
          <t>Selected Month</t>
        </is>
      </c>
      <c r="E7" s="10" t="n">
        <v>46235</v>
      </c>
    </row>
    <row r="9">
      <c r="A9" s="8" t="inlineStr">
        <is>
          <t>Daily Total</t>
        </is>
      </c>
      <c r="B9" s="3">
        <f>SUMIFS('Raw Data'!H:H,'Raw Data'!A:A,B7)</f>
        <v/>
      </c>
    </row>
    <row r="10">
      <c r="A10" s="8" t="inlineStr">
        <is>
          <t>Week Start (Mon)</t>
        </is>
      </c>
      <c r="B10" s="2">
        <f>B7-WEEKDAY(B7,2)+1</f>
        <v/>
      </c>
    </row>
    <row r="11">
      <c r="A11" s="8" t="inlineStr">
        <is>
          <t>Weekly Total</t>
        </is>
      </c>
      <c r="B11" s="3">
        <f>SUMIFS('Raw Data'!H:H,'Raw Data'!A:A,"&gt;="&amp;B10,'Raw Data'!A:A,"&lt;"&amp;B10+7)</f>
        <v/>
      </c>
    </row>
    <row r="12">
      <c r="A12" s="8" t="inlineStr">
        <is>
          <t>Monthly Total</t>
        </is>
      </c>
      <c r="B12" s="3">
        <f>SUMIFS('Raw Data'!H:H,'Raw Data'!A:A,"&gt;="&amp;E7,'Raw Data'!A:A,"&lt;"&amp;EDATE(E7,1))</f>
        <v/>
      </c>
    </row>
    <row r="15">
      <c r="A15" s="11" t="inlineStr">
        <is>
          <t>Monthly Sales Trend</t>
        </is>
      </c>
      <c r="D15" s="11" t="inlineStr">
        <is>
          <t>Sales by Category</t>
        </is>
      </c>
    </row>
    <row r="16">
      <c r="A16" s="12" t="inlineStr">
        <is>
          <t>Month</t>
        </is>
      </c>
      <c r="B16" s="12" t="inlineStr">
        <is>
          <t>Sales</t>
        </is>
      </c>
      <c r="D16" s="12" t="inlineStr">
        <is>
          <t>Category</t>
        </is>
      </c>
      <c r="E16" s="12" t="inlineStr">
        <is>
          <t>Sales</t>
        </is>
      </c>
    </row>
    <row r="17">
      <c r="A17" s="13" t="n">
        <v>46235</v>
      </c>
      <c r="B17" s="14">
        <f>SUMIFS('Raw Data'!H:H,'Raw Data'!A:A,"&gt;="&amp;A17,'Raw Data'!A:A,"&lt;"&amp;EDATE(A17,1))</f>
        <v/>
      </c>
      <c r="D17" t="inlineStr">
        <is>
          <t>Accessories</t>
        </is>
      </c>
      <c r="E17" s="14">
        <f>SUMIF('Raw Data'!E:E,D17,'Raw Data'!H:H)</f>
        <v/>
      </c>
    </row>
    <row r="18">
      <c r="A18" s="13" t="n">
        <v>46266</v>
      </c>
      <c r="B18" s="14">
        <f>SUMIFS('Raw Data'!H:H,'Raw Data'!A:A,"&gt;="&amp;A18,'Raw Data'!A:A,"&lt;"&amp;EDATE(A18,1))</f>
        <v/>
      </c>
      <c r="D18" t="inlineStr">
        <is>
          <t>Mobile &amp; Wearables</t>
        </is>
      </c>
      <c r="E18" s="14">
        <f>SUMIF('Raw Data'!E:E,D18,'Raw Data'!H:H)</f>
        <v/>
      </c>
    </row>
    <row r="19">
      <c r="A19" s="13" t="n">
        <v>46296</v>
      </c>
      <c r="B19" s="14">
        <f>SUMIFS('Raw Data'!H:H,'Raw Data'!A:A,"&gt;="&amp;A19,'Raw Data'!A:A,"&lt;"&amp;EDATE(A19,1))</f>
        <v/>
      </c>
      <c r="D19" t="inlineStr">
        <is>
          <t>Office &amp; Computing</t>
        </is>
      </c>
      <c r="E19" s="14">
        <f>SUMIF('Raw Data'!E:E,D19,'Raw Data'!H:H)</f>
        <v/>
      </c>
    </row>
    <row r="20">
      <c r="A20" s="13" t="n">
        <v>46327</v>
      </c>
      <c r="B20" s="14">
        <f>SUMIFS('Raw Data'!H:H,'Raw Data'!A:A,"&gt;="&amp;A20,'Raw Data'!A:A,"&lt;"&amp;EDATE(A20,1))</f>
        <v/>
      </c>
    </row>
    <row r="21">
      <c r="A21" s="13" t="n">
        <v>46357</v>
      </c>
      <c r="B21" s="14">
        <f>SUMIFS('Raw Data'!H:H,'Raw Data'!A:A,"&gt;="&amp;A21,'Raw Data'!A:A,"&lt;"&amp;EDATE(A21,1))</f>
        <v/>
      </c>
    </row>
    <row r="22">
      <c r="A22" s="13" t="n">
        <v>46388</v>
      </c>
      <c r="B22" s="14">
        <f>SUMIFS('Raw Data'!H:H,'Raw Data'!A:A,"&gt;="&amp;A22,'Raw Data'!A:A,"&lt;"&amp;EDATE(A22,1))</f>
        <v/>
      </c>
    </row>
  </sheetData>
  <mergeCells count="10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95" customWidth="1" min="2" max="2"/>
  </cols>
  <sheetData>
    <row r="1">
      <c r="A1" s="4" t="inlineStr">
        <is>
          <t>SALES TRACKER — USER GUIDE</t>
        </is>
      </c>
    </row>
    <row r="3">
      <c r="A3" s="8" t="inlineStr">
        <is>
          <t>1. Raw entry</t>
        </is>
      </c>
      <c r="B3" s="15" t="inlineStr">
        <is>
          <t>Enter one transaction per row in Raw Data.</t>
        </is>
      </c>
    </row>
    <row r="4">
      <c r="A4" s="8" t="inlineStr">
        <is>
          <t>2. Data validation</t>
        </is>
      </c>
      <c r="B4" s="15" t="inlineStr">
        <is>
          <t>Use dropdowns for Region and Product; Quantity accepts whole numbers.</t>
        </is>
      </c>
    </row>
    <row r="5">
      <c r="A5" s="8" t="inlineStr">
        <is>
          <t>3. Formula</t>
        </is>
      </c>
      <c r="B5" s="15" t="inlineStr">
        <is>
          <t>Sales Amount is calculated automatically as Quantity × Unit Price.</t>
        </is>
      </c>
    </row>
    <row r="6">
      <c r="A6" s="8" t="inlineStr">
        <is>
          <t>4. Daily rollup</t>
        </is>
      </c>
      <c r="B6" s="15" t="inlineStr">
        <is>
          <t>Change Selected Date in Summary!B7.</t>
        </is>
      </c>
    </row>
    <row r="7">
      <c r="A7" s="8" t="inlineStr">
        <is>
          <t>5. Weekly rollup</t>
        </is>
      </c>
      <c r="B7" s="15" t="inlineStr">
        <is>
          <t>The week is calculated Monday–Sunday.</t>
        </is>
      </c>
    </row>
    <row r="8">
      <c r="A8" s="8" t="inlineStr">
        <is>
          <t>6. Monthly rollup</t>
        </is>
      </c>
      <c r="B8" s="15" t="inlineStr">
        <is>
          <t>Change Selected Month in Summary!E7.</t>
        </is>
      </c>
    </row>
    <row r="9">
      <c r="A9" s="8" t="inlineStr">
        <is>
          <t>7. Verification</t>
        </is>
      </c>
      <c r="B9" s="15" t="inlineStr">
        <is>
          <t>Filter Raw Data and manually sum Sales Amount for the relevant date range.</t>
        </is>
      </c>
    </row>
    <row r="10">
      <c r="A10" s="8" t="inlineStr">
        <is>
          <t>8. Structure</t>
        </is>
      </c>
      <c r="B10" s="15" t="inlineStr">
        <is>
          <t>Keep raw inputs separate from summary formulas.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2026-09-15T14:05:44Z</dcterms:created>
  <dcterms:modified xmlns:dcterms="http://purl.org/dc/terms/" xmlns:xsi="http://www.w3.org/2001/XMLSchema-instance" xsi:type="dcterms:W3CDTF">2026-09-15T14:05:44Z</dcterms:modified>
</cp:coreProperties>
</file>